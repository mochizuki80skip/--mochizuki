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8月28日（金）" sheetId="1" state="visible" r:id="rId1"/>
    <sheet name="8月29日（土）" sheetId="2" state="visible" r:id="rId2"/>
    <sheet name="8月30日（日）" sheetId="3" state="visible" r:id="rId3"/>
    <sheet name="体験者一覧" sheetId="4" state="visible" r:id="rId4"/>
    <sheet name="設定"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b val="1"/>
    </font>
    <font>
      <b val="1"/>
      <sz val="12"/>
    </font>
    <font>
      <b val="1"/>
      <sz val="9"/>
    </font>
    <font>
      <color rgb="00666666"/>
      <sz val="9"/>
    </font>
  </fonts>
  <fills count="10">
    <fill>
      <patternFill/>
    </fill>
    <fill>
      <patternFill patternType="gray125"/>
    </fill>
    <fill>
      <patternFill patternType="solid">
        <fgColor rgb="001F3864"/>
      </patternFill>
    </fill>
    <fill>
      <patternFill patternType="solid">
        <fgColor rgb="00D9D9D9"/>
      </patternFill>
    </fill>
    <fill>
      <patternFill patternType="solid">
        <fgColor rgb="00DEEBF7"/>
      </patternFill>
    </fill>
    <fill>
      <patternFill patternType="solid">
        <fgColor rgb="00FFFFFF"/>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5">
    <border>
      <left/>
      <right/>
      <top/>
      <bottom/>
      <diagonal/>
    </border>
    <border>
      <left style="medium">
        <color rgb="00666666"/>
      </left>
      <right style="medium">
        <color rgb="00666666"/>
      </right>
      <top style="thin">
        <color rgb="00B7B7B7"/>
      </top>
      <bottom style="thin">
        <color rgb="00B7B7B7"/>
      </bottom>
    </border>
    <border>
      <left style="thin">
        <color rgb="00B7B7B7"/>
      </left>
      <right style="thin">
        <color rgb="00B7B7B7"/>
      </right>
      <top style="thin">
        <color rgb="00B7B7B7"/>
      </top>
      <bottom style="thin">
        <color rgb="00B7B7B7"/>
      </bottom>
    </border>
    <border>
      <left style="medium">
        <color rgb="00666666"/>
      </left>
      <right style="thin">
        <color rgb="00B7B7B7"/>
      </right>
      <top style="thin">
        <color rgb="00B7B7B7"/>
      </top>
      <bottom style="thin">
        <color rgb="00B7B7B7"/>
      </bottom>
    </border>
    <border>
      <left style="thin">
        <color rgb="00B7B7B7"/>
      </left>
      <right style="medium">
        <color rgb="00666666"/>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4" borderId="1" pivotButton="0" quotePrefix="0" xfId="0"/>
    <xf numFmtId="0" fontId="2" fillId="6" borderId="1" applyAlignment="1" pivotButton="0" quotePrefix="0" xfId="0">
      <alignment horizontal="center" vertical="center" wrapText="1"/>
    </xf>
    <xf numFmtId="0" fontId="0" fillId="6" borderId="1" pivotButton="0" quotePrefix="0" xfId="0"/>
    <xf numFmtId="0" fontId="2" fillId="7" borderId="1" applyAlignment="1" pivotButton="0" quotePrefix="0" xfId="0">
      <alignment horizontal="center" vertical="center" wrapText="1"/>
    </xf>
    <xf numFmtId="0" fontId="0" fillId="7" borderId="1" pivotButton="0" quotePrefix="0" xfId="0"/>
    <xf numFmtId="0" fontId="2" fillId="8" borderId="1" applyAlignment="1" pivotButton="0" quotePrefix="0" xfId="0">
      <alignment horizontal="center" vertical="center" wrapText="1"/>
    </xf>
    <xf numFmtId="0" fontId="0" fillId="8" borderId="1" pivotButton="0" quotePrefix="0" xfId="0"/>
    <xf numFmtId="0" fontId="4" fillId="9"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4" applyAlignment="1" pivotButton="0" quotePrefix="0" xfId="0">
      <alignment horizontal="center" vertical="center" wrapText="1"/>
    </xf>
    <xf numFmtId="0" fontId="5" fillId="0" borderId="0" applyAlignment="1" pivotButton="0" quotePrefix="0" xfId="0">
      <alignment horizontal="left" vertical="center" wrapText="1"/>
    </xf>
    <xf numFmtId="0" fontId="2" fillId="3" borderId="0" applyAlignment="1" pivotButton="0" quotePrefix="0" xfId="0">
      <alignment horizontal="center" vertical="center"/>
    </xf>
    <xf numFmtId="0" fontId="2" fillId="0" borderId="0" pivotButton="0" quotePrefix="0" xfId="0"/>
    <xf numFmtId="0" fontId="2" fillId="3"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cellXfs>
  <cellStyles count="1">
    <cellStyle name="Normal" xfId="0" builtinId="0" hidden="0"/>
  </cellStyles>
  <dxfs count="2">
    <dxf>
      <fill>
        <patternFill patternType="solid">
          <fgColor rgb="00C6EFCE"/>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2026/8月28日（金）</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2026/8月29日（土）</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2026/8月30日（日）</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2" customWidth="1" min="3" max="3"/>
    <col width="16" customWidth="1" min="4" max="4"/>
    <col width="16" customWidth="1" min="5" max="5"/>
    <col width="14" customWidth="1" min="6" max="6"/>
  </cols>
  <sheetData>
    <row r="1">
      <c r="A1" s="22" t="inlineStr">
        <is>
          <t>体験日</t>
        </is>
      </c>
      <c r="B1" s="22" t="inlineStr">
        <is>
          <t>氏名</t>
        </is>
      </c>
      <c r="C1" s="22" t="inlineStr">
        <is>
          <t>担当者</t>
        </is>
      </c>
      <c r="D1" s="22" t="inlineStr">
        <is>
          <t>集客きっかけ</t>
        </is>
      </c>
      <c r="E1" s="22" t="inlineStr">
        <is>
          <t>次回予約（〇・×）</t>
        </is>
      </c>
      <c r="F1" s="22" t="inlineStr">
        <is>
          <t>次回来店日</t>
        </is>
      </c>
    </row>
    <row r="2">
      <c r="A2">
        <f>IFERROR(LET(data,VSTACK(HSTACK(ARRAYFORMULA(IF('8月28日（金）'!$C$5:$C$22&lt;&gt;"","8/28","")),'8月28日（金）'!$C$5:$C$22,'8月28日（金）'!$B$5:$B$22,'8月28日（金）'!$E$5:$E$22),HSTACK(ARRAYFORMULA(IF('8月28日（金）'!$H$5:$H$22&lt;&gt;"","8/28","")),'8月28日（金）'!$H$5:$H$22,'8月28日（金）'!$G$5:$G$22,'8月28日（金）'!$J$5:$J$22),HSTACK(ARRAYFORMULA(IF('8月28日（金）'!$M$5:$M$22&lt;&gt;"","8/28","")),'8月28日（金）'!$M$5:$M$22,'8月28日（金）'!$L$5:$L$22,'8月28日（金）'!$O$5:$O$22),HSTACK(ARRAYFORMULA(IF('8月28日（金）'!$R$5:$R$22&lt;&gt;"","8/28","")),'8月28日（金）'!$R$5:$R$22,'8月28日（金）'!$Q$5:$Q$22,'8月28日（金）'!$T$5:$T$22),HSTACK(ARRAYFORMULA(IF('8月29日（土）'!$C$5:$C$22&lt;&gt;"","8/29","")),'8月29日（土）'!$C$5:$C$22,'8月29日（土）'!$B$5:$B$22,'8月29日（土）'!$E$5:$E$22),HSTACK(ARRAYFORMULA(IF('8月29日（土）'!$H$5:$H$22&lt;&gt;"","8/29","")),'8月29日（土）'!$H$5:$H$22,'8月29日（土）'!$G$5:$G$22,'8月29日（土）'!$J$5:$J$22),HSTACK(ARRAYFORMULA(IF('8月29日（土）'!$M$5:$M$22&lt;&gt;"","8/29","")),'8月29日（土）'!$M$5:$M$22,'8月29日（土）'!$L$5:$L$22,'8月29日（土）'!$O$5:$O$22),HSTACK(ARRAYFORMULA(IF('8月29日（土）'!$R$5:$R$22&lt;&gt;"","8/29","")),'8月29日（土）'!$R$5:$R$22,'8月29日（土）'!$Q$5:$Q$22,'8月29日（土）'!$T$5:$T$22),HSTACK(ARRAYFORMULA(IF('8月30日（日）'!$C$5:$C$22&lt;&gt;"","8/30","")),'8月30日（日）'!$C$5:$C$22,'8月30日（日）'!$B$5:$B$22,'8月30日（日）'!$E$5:$E$22),HSTACK(ARRAYFORMULA(IF('8月30日（日）'!$H$5:$H$22&lt;&gt;"","8/30","")),'8月30日（日）'!$H$5:$H$22,'8月30日（日）'!$G$5:$G$22,'8月30日（日）'!$J$5:$J$22),HSTACK(ARRAYFORMULA(IF('8月30日（日）'!$M$5:$M$22&lt;&gt;"","8/30","")),'8月30日（日）'!$M$5:$M$22,'8月30日（日）'!$L$5:$L$22,'8月30日（日）'!$O$5:$O$22),HSTACK(ARRAYFORMULA(IF('8月30日（日）'!$R$5:$R$22&lt;&gt;"","8/30","")),'8月30日（日）'!$R$5:$R$22,'8月30日（日）'!$Q$5:$Q$22,'8月30日（日）'!$T$5:$T$22)),FILTER(data,INDEX(data,,2)&lt;&gt;"")),"")</f>
        <v/>
      </c>
    </row>
  </sheetData>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9"/>
  <sheetViews>
    <sheetView workbookViewId="0">
      <selection activeCell="A1" sqref="A1"/>
    </sheetView>
  </sheetViews>
  <sheetFormatPr baseColWidth="8" defaultRowHeight="15"/>
  <cols>
    <col width="16" customWidth="1" min="1" max="1"/>
    <col width="16" customWidth="1" min="3" max="3"/>
    <col width="9" customWidth="1" min="5" max="5"/>
    <col width="9" customWidth="1" min="6" max="6"/>
    <col width="9" customWidth="1" min="7" max="7"/>
  </cols>
  <sheetData>
    <row r="1">
      <c r="A1" s="23" t="inlineStr">
        <is>
          <t>担当者リスト</t>
        </is>
      </c>
      <c r="C1" s="23" t="inlineStr">
        <is>
          <t>集客経路リスト</t>
        </is>
      </c>
      <c r="D1" s="23" t="inlineStr">
        <is>
          <t>集計</t>
        </is>
      </c>
      <c r="E1" s="24" t="inlineStr">
        <is>
          <t>8/28</t>
        </is>
      </c>
      <c r="F1" s="24" t="inlineStr">
        <is>
          <t>8/29</t>
        </is>
      </c>
      <c r="G1" s="24" t="inlineStr">
        <is>
          <t>8/30</t>
        </is>
      </c>
    </row>
    <row r="2">
      <c r="A2" t="inlineStr"/>
      <c r="C2" t="inlineStr">
        <is>
          <t>Instagram</t>
        </is>
      </c>
      <c r="E2" s="25">
        <f>COUNTIF('8月28日（金）'!$E$5:$E$22,$C2)+COUNTIF('8月28日（金）'!$J$5:$J$22,$C2)+COUNTIF('8月28日（金）'!$O$5:$O$22,$C2)+COUNTIF('8月28日（金）'!$T$5:$T$22,$C2)</f>
        <v/>
      </c>
      <c r="F2" s="25">
        <f>COUNTIF('8月29日（土）'!$E$5:$E$22,$C2)+COUNTIF('8月29日（土）'!$J$5:$J$22,$C2)+COUNTIF('8月29日（土）'!$O$5:$O$22,$C2)+COUNTIF('8月29日（土）'!$T$5:$T$22,$C2)</f>
        <v/>
      </c>
      <c r="G2" s="25">
        <f>COUNTIF('8月30日（日）'!$E$5:$E$22,$C2)+COUNTIF('8月30日（日）'!$J$5:$J$22,$C2)+COUNTIF('8月30日（日）'!$O$5:$O$22,$C2)+COUNTIF('8月30日（日）'!$T$5:$T$22,$C2)</f>
        <v/>
      </c>
    </row>
    <row r="3">
      <c r="A3" t="inlineStr">
        <is>
          <t>担当A</t>
        </is>
      </c>
      <c r="C3" t="inlineStr">
        <is>
          <t>Googleマップ</t>
        </is>
      </c>
      <c r="E3" s="25">
        <f>COUNTIF('8月28日（金）'!$E$5:$E$22,$C3)+COUNTIF('8月28日（金）'!$J$5:$J$22,$C3)+COUNTIF('8月28日（金）'!$O$5:$O$22,$C3)+COUNTIF('8月28日（金）'!$T$5:$T$22,$C3)</f>
        <v/>
      </c>
      <c r="F3" s="25">
        <f>COUNTIF('8月29日（土）'!$E$5:$E$22,$C3)+COUNTIF('8月29日（土）'!$J$5:$J$22,$C3)+COUNTIF('8月29日（土）'!$O$5:$O$22,$C3)+COUNTIF('8月29日（土）'!$T$5:$T$22,$C3)</f>
        <v/>
      </c>
      <c r="G3" s="25">
        <f>COUNTIF('8月30日（日）'!$E$5:$E$22,$C3)+COUNTIF('8月30日（日）'!$J$5:$J$22,$C3)+COUNTIF('8月30日（日）'!$O$5:$O$22,$C3)+COUNTIF('8月30日（日）'!$T$5:$T$22,$C3)</f>
        <v/>
      </c>
    </row>
    <row r="4">
      <c r="A4" t="inlineStr">
        <is>
          <t>担当B</t>
        </is>
      </c>
      <c r="C4" t="inlineStr">
        <is>
          <t>チラシ</t>
        </is>
      </c>
      <c r="E4" s="25">
        <f>COUNTIF('8月28日（金）'!$E$5:$E$22,$C4)+COUNTIF('8月28日（金）'!$J$5:$J$22,$C4)+COUNTIF('8月28日（金）'!$O$5:$O$22,$C4)+COUNTIF('8月28日（金）'!$T$5:$T$22,$C4)</f>
        <v/>
      </c>
      <c r="F4" s="25">
        <f>COUNTIF('8月29日（土）'!$E$5:$E$22,$C4)+COUNTIF('8月29日（土）'!$J$5:$J$22,$C4)+COUNTIF('8月29日（土）'!$O$5:$O$22,$C4)+COUNTIF('8月29日（土）'!$T$5:$T$22,$C4)</f>
        <v/>
      </c>
      <c r="G4" s="25">
        <f>COUNTIF('8月30日（日）'!$E$5:$E$22,$C4)+COUNTIF('8月30日（日）'!$J$5:$J$22,$C4)+COUNTIF('8月30日（日）'!$O$5:$O$22,$C4)+COUNTIF('8月30日（日）'!$T$5:$T$22,$C4)</f>
        <v/>
      </c>
    </row>
    <row r="5">
      <c r="A5" t="inlineStr">
        <is>
          <t>担当C</t>
        </is>
      </c>
      <c r="C5" t="inlineStr">
        <is>
          <t>紹介</t>
        </is>
      </c>
      <c r="E5" s="25">
        <f>COUNTIF('8月28日（金）'!$E$5:$E$22,$C5)+COUNTIF('8月28日（金）'!$J$5:$J$22,$C5)+COUNTIF('8月28日（金）'!$O$5:$O$22,$C5)+COUNTIF('8月28日（金）'!$T$5:$T$22,$C5)</f>
        <v/>
      </c>
      <c r="F5" s="25">
        <f>COUNTIF('8月29日（土）'!$E$5:$E$22,$C5)+COUNTIF('8月29日（土）'!$J$5:$J$22,$C5)+COUNTIF('8月29日（土）'!$O$5:$O$22,$C5)+COUNTIF('8月29日（土）'!$T$5:$T$22,$C5)</f>
        <v/>
      </c>
      <c r="G5" s="25">
        <f>COUNTIF('8月30日（日）'!$E$5:$E$22,$C5)+COUNTIF('8月30日（日）'!$J$5:$J$22,$C5)+COUNTIF('8月30日（日）'!$O$5:$O$22,$C5)+COUNTIF('8月30日（日）'!$T$5:$T$22,$C5)</f>
        <v/>
      </c>
    </row>
    <row r="6">
      <c r="A6" t="inlineStr">
        <is>
          <t>担当D</t>
        </is>
      </c>
      <c r="C6" t="inlineStr">
        <is>
          <t>HP</t>
        </is>
      </c>
      <c r="E6" s="25">
        <f>COUNTIF('8月28日（金）'!$E$5:$E$22,$C6)+COUNTIF('8月28日（金）'!$J$5:$J$22,$C6)+COUNTIF('8月28日（金）'!$O$5:$O$22,$C6)+COUNTIF('8月28日（金）'!$T$5:$T$22,$C6)</f>
        <v/>
      </c>
      <c r="F6" s="25">
        <f>COUNTIF('8月29日（土）'!$E$5:$E$22,$C6)+COUNTIF('8月29日（土）'!$J$5:$J$22,$C6)+COUNTIF('8月29日（土）'!$O$5:$O$22,$C6)+COUNTIF('8月29日（土）'!$T$5:$T$22,$C6)</f>
        <v/>
      </c>
      <c r="G6" s="25">
        <f>COUNTIF('8月30日（日）'!$E$5:$E$22,$C6)+COUNTIF('8月30日（日）'!$J$5:$J$22,$C6)+COUNTIF('8月30日（日）'!$O$5:$O$22,$C6)+COUNTIF('8月30日（日）'!$T$5:$T$22,$C6)</f>
        <v/>
      </c>
    </row>
    <row r="7">
      <c r="A7" t="inlineStr">
        <is>
          <t>担当E</t>
        </is>
      </c>
      <c r="C7" t="inlineStr">
        <is>
          <t>既存会員</t>
        </is>
      </c>
      <c r="E7" s="25">
        <f>COUNTIF('8月28日（金）'!$E$5:$E$22,$C7)+COUNTIF('8月28日（金）'!$J$5:$J$22,$C7)+COUNTIF('8月28日（金）'!$O$5:$O$22,$C7)+COUNTIF('8月28日（金）'!$T$5:$T$22,$C7)</f>
        <v/>
      </c>
      <c r="F7" s="25">
        <f>COUNTIF('8月29日（土）'!$E$5:$E$22,$C7)+COUNTIF('8月29日（土）'!$J$5:$J$22,$C7)+COUNTIF('8月29日（土）'!$O$5:$O$22,$C7)+COUNTIF('8月29日（土）'!$T$5:$T$22,$C7)</f>
        <v/>
      </c>
      <c r="G7" s="25">
        <f>COUNTIF('8月30日（日）'!$E$5:$E$22,$C7)+COUNTIF('8月30日（日）'!$J$5:$J$22,$C7)+COUNTIF('8月30日（日）'!$O$5:$O$22,$C7)+COUNTIF('8月30日（日）'!$T$5:$T$22,$C7)</f>
        <v/>
      </c>
    </row>
    <row r="8">
      <c r="C8" t="inlineStr">
        <is>
          <t>その他</t>
        </is>
      </c>
      <c r="E8" s="25">
        <f>COUNTIF('8月28日（金）'!$E$5:$E$22,$C8)+COUNTIF('8月28日（金）'!$J$5:$J$22,$C8)+COUNTIF('8月28日（金）'!$O$5:$O$22,$C8)+COUNTIF('8月28日（金）'!$T$5:$T$22,$C8)</f>
        <v/>
      </c>
      <c r="F8" s="25">
        <f>COUNTIF('8月29日（土）'!$E$5:$E$22,$C8)+COUNTIF('8月29日（土）'!$J$5:$J$22,$C8)+COUNTIF('8月29日（土）'!$O$5:$O$22,$C8)+COUNTIF('8月29日（土）'!$T$5:$T$22,$C8)</f>
        <v/>
      </c>
      <c r="G8" s="25">
        <f>COUNTIF('8月30日（日）'!$E$5:$E$22,$C8)+COUNTIF('8月30日（日）'!$J$5:$J$22,$C8)+COUNTIF('8月30日（日）'!$O$5:$O$22,$C8)+COUNTIF('8月30日（日）'!$T$5:$T$22,$C8)</f>
        <v/>
      </c>
    </row>
    <row r="9">
      <c r="C9" s="23" t="inlineStr">
        <is>
          <t>合計</t>
        </is>
      </c>
      <c r="E9" s="26">
        <f>SUM(E2:E8)</f>
        <v/>
      </c>
      <c r="F9" s="26">
        <f>SUM(F2:F8)</f>
        <v/>
      </c>
      <c r="G9" s="26">
        <f>SUM(G2:G8)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2026-07-13T03:31:50Z</dcterms:created>
  <dcterms:modified xsi:type="dcterms:W3CDTF">2026-07-13T03:31:50Z</dcterms:modified>
</cp:coreProperties>
</file>